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27AC913-E90D-46D6-ACAB-76DB23EDC549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<sst xmlns="http://schemas.openxmlformats.org/spreadsheetml/2006/main" count="2022" uniqueCount="324">
  <si>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</si>
  <si>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</si>
  <si>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</si>
  <si>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</si>
  <si>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</si>
  <si>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</si>
  <si>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</si>
  <si>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</si>
  <si>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</si>
  <si>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</si>
  <si>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</si>
  <si>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</si>
  <si>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</si>
  <si>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</si>
  <si>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</si>
  <si>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</si>
  <si>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</si>
  <si>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</si>
  <si>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</si>
  <si>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</si>
  <si>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</si>
  <si>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</si>
  <si>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</si>
  <si>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</si>
  <si>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</si>
  <si>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</si>
  <si>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</si>
  <si>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</si>
  <si>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</si>
  <si>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</si>
  <si>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</si>
  <si>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</si>
  <si>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</si>
  <si>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</si>
  <si>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</si>
  <si>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</si>
  <si>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</si>
  <si>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</si>
  <si>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</si>
  <si>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</si>
  <si>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</si>
  <si>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</si>
  <si>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</si>
  <si>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</si>
  <si>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</si>
  <si>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</si>
  <si>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</si>
  <si>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</si>
  <si>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</si>
  <si>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</si>
  <si>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</si>
  <si>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</si>
  <si>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</si>
  <si>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</si>
  <si>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</si>
  <si>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</si>
  <si>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</si>
  <si>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</si>
  <si>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</si>
  <si>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</si>
  <si>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</si>
  <si>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</si>
  <si>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</si>
  <si>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</si>
  <si>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</si>
  <si>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</si>
  <si>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</si>
  <si>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</si>
  <si>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</si>
  <si>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</si>
  <si>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</si>
  <si>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</si>
  <si>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</si>
  <si>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</si>
  <si>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</si>
  <si>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</si>
  <si>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</si>
  <si>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</si>
  <si>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</si>
  <si>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</si>
  <si>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</si>
  <si>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</si>
  <si>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</si>
  <si>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</si>
  <si>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</si>
  <si>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</si>
  <si>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</si>
  <si>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</si>
  <si>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</si>
  <si>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</si>
  <si>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</si>
  <si>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</si>
  <si>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</si>
  <si>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</si>
  <si>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</si>
  <si>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</si>
  <si>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</si>
  <si>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</si>
  <si>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</si>
  <si>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</si>
  <si>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</si>
  <si>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</si>
  <si>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</si>
  <si>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</si>
  <si>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</si>
  <si>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</si>
  <si>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</si>
  <si>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</si>
  <si>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</si>
  <si>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</si>
  <si>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</si>
  <si>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</si>
  <si>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</si>
  <si>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</si>
  <si>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</si>
  <si>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</si>
  <si>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</si>
  <si>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</si>
  <si>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</si>
  <si>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</si>
  <si>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</si>
  <si>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</si>
  <si>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</si>
  <si>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</si>
  <si>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</si>
  <si>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</si>
  <si>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</si>
  <si>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</si>
  <si>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</si>
  <si>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</si>
  <si>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</si>
  <si>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</si>
  <si>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</si>
  <si>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</si>
  <si>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</si>
  <si>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</si>
  <si>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</si>
  <si>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</si>
  <si>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</si>
  <si>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</si>
  <si>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</si>
  <si>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</si>
  <si>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</si>
  <si>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</si>
  <si>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</si>
  <si>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</si>
  <si>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</si>
  <si>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</si>
  <si>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</si>
  <si>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</si>
  <si>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</si>
  <si>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</si>
  <si>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</si>
  <si>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</si>
  <si>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</si>
  <si>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</si>
  <si>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</si>
  <si>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</si>
  <si>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</si>
  <si>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</si>
  <si>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</si>
  <si>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</si>
  <si>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</si>
  <si>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</si>
  <si>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</si>
  <si>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</si>
  <si>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</si>
  <si>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</si>
  <si>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</si>
  <si>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</si>
  <si>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</si>
  <si>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</si>
  <si>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</si>
  <si>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</si>
  <si>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</si>
  <si>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</si>
  <si>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</si>
  <si>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</si>
  <si>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</si>
  <si>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</si>
  <si>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</si>
  <si>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</si>
  <si>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</si>
  <si>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</si>
  <si>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</si>
  <si>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</si>
  <si>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</si>
  <si>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</si>
  <si>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</si>
  <si>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</si>
  <si>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</si>
  <si>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</si>
  <si>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</si>
  <si>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</si>
  <si>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</si>
  <si>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</si>
  <si>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</si>
  <si>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</si>
  <si>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</si>
  <si>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</si>
  <si>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</si>
  <si>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</si>
  <si>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</si>
  <si>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</si>
  <si>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</si>
  <si>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</si>
  <si>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</si>
  <si>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</si>
  <si>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</si>
  <si>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</si>
  <si>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</si>
  <si>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</si>
  <si>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</si>
  <si>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</si>
  <si>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</si>
  <si>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</si>
  <si>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</si>
  <si>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</si>
  <si>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</si>
  <si>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</si>
  <si>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</si>
  <si>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</si>
  <si>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</si>
  <si>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</si>
  <si>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</si>
  <si>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</si>
  <si>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</si>
  <si>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</si>
  <si>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</si>
  <si>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</si>
  <si>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</si>
  <si>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</si>
  <si>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</si>
  <si>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</si>
  <si>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</si>
  <si>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</si>
  <si>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</si>
  <si>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</si>
  <si>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</si>
  <si>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</si>
  <si>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</si>
  <si>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</si>
  <si>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</si>
  <si>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</si>
  <si>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</si>
  <si>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</si>
  <si>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</si>
  <si>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</si>
  <si>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</si>
  <si>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</si>
  <si>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</si>
  <si>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</si>
  <si>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</si>
  <si>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</si>
  <si>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</si>
  <si>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</si>
  <si>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</si>
  <si>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</si>
  <si>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</si>
  <si>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</si>
  <si>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</si>
  <si>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</si>
  <si>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</si>
  <si>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</si>
  <si>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</si>
  <si>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</si>
  <si>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</si>
  <si>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</si>
  <si>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</si>
  <si>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</si>
  <si>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</si>
  <si>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</si>
  <si>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</si>
  <si>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</si>
  <si>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</si>
  <si>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</si>
  <si>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</si>
  <si>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</si>
  <si>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</si>
  <si>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</si>
  <si>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</si>
  <si>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</si>
  <si>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</si>
  <si>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</si>
  <si>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</si>
  <si>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</si>
  <si>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</si>
  <si>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</si>
  <si>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</si>
  <si>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</si>
  <si>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</si>
  <si>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</si>
  <si>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</si>
  <si>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</si>
  <si>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</si>
  <si>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</si>
  <si>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</si>
  <si>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</si>
  <si>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</si>
  <si>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</si>
  <si>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</si>
  <si>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</si>
  <si>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</si>
  <si>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</si>
  <si>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</si>
  <si>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</si>
  <si>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</si>
  <si>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</si>
  <si>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</si>
  <si>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</si>
  <si>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</si>
  <si>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</si>
  <si>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</si>
  <si>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 uma pergunta de negócio respondida através de alguma análise de dado específica</t>
  </si>
  <si>
    <t>Soma de Total Value</t>
  </si>
  <si>
    <t>Rótulos de Linha</t>
  </si>
  <si>
    <t>Total Geral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</si>
  <si>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</si>
  <si>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 é auto renovação</t>
    </r>
  </si>
  <si>
    <t>XBOX GAME PASS SUBSCRIPTIONS SALES</t>
  </si>
  <si>
    <t>Pergunta de Negócio 3 - Total de Vendas da Assinatura do EA Play</t>
  </si>
  <si>
    <t>Soma de Minecraft Season Pass Price</t>
  </si>
  <si>
    <t>Soma de EA Play Season Pass</t>
  </si>
  <si>
    <t>Pergunta de Negócio 4 - Total de Vendas da Assinatura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</si>
</sst>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8" borderId="0" xfId="3" applyAlignment="1">
      <alignment horizontal="center"/>
    </xf>
    <xf numFmtId="0" fontId="5" fillId="0" borderId="2" xfId="1" applyFont="1" applyBorder="1"/>
    <xf numFmtId="0" fontId="1" fillId="0" borderId="2" xfId="1" applyBorder="1"/>
    <xf numFmtId="0" fontId="0" fillId="0" borderId="0" xfId="0" applyNumberFormat="1"/>
    <xf numFmtId="165" fontId="0" fillId="0" borderId="0" xfId="0" applyNumberFormat="1"/>
    <xf numFmtId="0" fontId="5" fillId="0" borderId="2" xfId="1" applyFont="1" applyBorder="1" applyAlignment="1">
      <alignment horizontal="left" indent="4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38970D48-3C6D-4F08-91D5-85C29939F529}">
      <tableStyleElement type="wholeTable" dxfId="2"/>
    </tableStyle>
    <tableStyle name="SlicerStyleLight6 2" pivot="0" table="0" count="10" xr9:uid="{5C3811F8-A742-4CE4-B061-D20B0D64388B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0-4C48-B609-1929C0AD0B61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70-4C48-B609-1929C0AD0B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0-4C48-B609-1929C0AD0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473760"/>
        <c:axId val="1039219232"/>
      </c:barChart>
      <c:catAx>
        <c:axId val="67947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9219232"/>
        <c:crosses val="autoZero"/>
        <c:auto val="1"/>
        <c:lblAlgn val="ctr"/>
        <c:lblOffset val="100"/>
        <c:noMultiLvlLbl val="0"/>
      </c:catAx>
      <c:valAx>
        <c:axId val="10392192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947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1</xdr:row>
      <xdr:rowOff>7056</xdr:rowOff>
    </xdr:from>
    <xdr:to>
      <xdr:col>12</xdr:col>
      <xdr:colOff>603250</xdr:colOff>
      <xdr:row>3</xdr:row>
      <xdr:rowOff>102306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927667" y="388056"/>
          <a:ext cx="508000" cy="511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35719</xdr:colOff>
      <xdr:row>0</xdr:row>
      <xdr:rowOff>0</xdr:rowOff>
    </xdr:from>
    <xdr:to>
      <xdr:col>2</xdr:col>
      <xdr:colOff>404812</xdr:colOff>
      <xdr:row>2</xdr:row>
      <xdr:rowOff>285749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FD7AB8-EE7F-4E80-B462-F83986CDD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8" r="72772" b="13808"/>
        <a:stretch>
          <a:fillRect/>
        </a:stretch>
      </xdr:blipFill>
      <xdr:spPr>
        <a:xfrm>
          <a:off x="1821657" y="0"/>
          <a:ext cx="607218" cy="7381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233362</xdr:rowOff>
    </xdr:from>
    <xdr:to>
      <xdr:col>0</xdr:col>
      <xdr:colOff>1781175</xdr:colOff>
      <xdr:row>14</xdr:row>
      <xdr:rowOff>7144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B32E277-721F-4111-8C07-CE81DA7A2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8621"/>
              <a:ext cx="1781175" cy="1325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154779</xdr:colOff>
      <xdr:row>6</xdr:row>
      <xdr:rowOff>17860</xdr:rowOff>
    </xdr:from>
    <xdr:to>
      <xdr:col>9</xdr:col>
      <xdr:colOff>416718</xdr:colOff>
      <xdr:row>12</xdr:row>
      <xdr:rowOff>29766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B0B80BF-435E-BDBB-987E-22187153A57A}"/>
            </a:ext>
          </a:extLst>
        </xdr:cNvPr>
        <xdr:cNvGrpSpPr/>
      </xdr:nvGrpSpPr>
      <xdr:grpSpPr>
        <a:xfrm>
          <a:off x="2182947" y="1109951"/>
          <a:ext cx="4515344" cy="1309276"/>
          <a:chOff x="2202655" y="1035844"/>
          <a:chExt cx="4512470" cy="146248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AA01D68-83B1-79AF-F295-FE2FF350DCA9}"/>
              </a:ext>
            </a:extLst>
          </xdr:cNvPr>
          <xdr:cNvSpPr/>
        </xdr:nvSpPr>
        <xdr:spPr>
          <a:xfrm>
            <a:off x="2202655" y="1178720"/>
            <a:ext cx="4155281" cy="1319607"/>
          </a:xfrm>
          <a:prstGeom prst="roundRect">
            <a:avLst>
              <a:gd name="adj" fmla="val 88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822D1C2-4205-45C8-8E16-9BE665B64F6D}"/>
              </a:ext>
            </a:extLst>
          </xdr:cNvPr>
          <xdr:cNvSpPr/>
        </xdr:nvSpPr>
        <xdr:spPr>
          <a:xfrm>
            <a:off x="2950368" y="1401364"/>
            <a:ext cx="3764757" cy="916781"/>
          </a:xfrm>
          <a:prstGeom prst="roundRect">
            <a:avLst>
              <a:gd name="adj" fmla="val 6278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81C2322-1E54-49F5-AED6-B7579359CB80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84726B1-68E4-42A6-9D9F-5B11026F7F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1" y="1250154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F1E5304-ADBA-30F8-BB75-B49D5ED14862}"/>
              </a:ext>
            </a:extLst>
          </xdr:cNvPr>
          <xdr:cNvSpPr/>
        </xdr:nvSpPr>
        <xdr:spPr>
          <a:xfrm>
            <a:off x="2202657" y="1035844"/>
            <a:ext cx="4155280" cy="2857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500062</xdr:colOff>
      <xdr:row>6</xdr:row>
      <xdr:rowOff>17860</xdr:rowOff>
    </xdr:from>
    <xdr:to>
      <xdr:col>17</xdr:col>
      <xdr:colOff>0</xdr:colOff>
      <xdr:row>12</xdr:row>
      <xdr:rowOff>29766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DE126AD6-1728-5860-1A8C-0F9DAE50028F}"/>
            </a:ext>
          </a:extLst>
        </xdr:cNvPr>
        <xdr:cNvGrpSpPr/>
      </xdr:nvGrpSpPr>
      <xdr:grpSpPr>
        <a:xfrm>
          <a:off x="6781635" y="1109951"/>
          <a:ext cx="4188537" cy="1309276"/>
          <a:chOff x="7000875" y="1107281"/>
          <a:chExt cx="4512471" cy="1309687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173EBFF8-A522-46FD-864F-1ABB7618B210}"/>
              </a:ext>
            </a:extLst>
          </xdr:cNvPr>
          <xdr:cNvGrpSpPr/>
        </xdr:nvGrpSpPr>
        <xdr:grpSpPr>
          <a:xfrm>
            <a:off x="7000875" y="1107281"/>
            <a:ext cx="4512471" cy="1309687"/>
            <a:chOff x="2202654" y="1035844"/>
            <a:chExt cx="4512471" cy="1462483"/>
          </a:xfrm>
        </xdr:grpSpPr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41CAE496-A728-6F56-E0F6-C7E4C6B9A409}"/>
                </a:ext>
              </a:extLst>
            </xdr:cNvPr>
            <xdr:cNvSpPr/>
          </xdr:nvSpPr>
          <xdr:spPr>
            <a:xfrm>
              <a:off x="2202654" y="1178720"/>
              <a:ext cx="4502995" cy="1319607"/>
            </a:xfrm>
            <a:prstGeom prst="roundRect">
              <a:avLst>
                <a:gd name="adj" fmla="val 887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A02E22B4-0AB2-07A0-4820-56A43C7AC863}"/>
                </a:ext>
              </a:extLst>
            </xdr:cNvPr>
            <xdr:cNvSpPr/>
          </xdr:nvSpPr>
          <xdr:spPr>
            <a:xfrm>
              <a:off x="2950368" y="1401365"/>
              <a:ext cx="3764757" cy="916781"/>
            </a:xfrm>
            <a:prstGeom prst="roundRect">
              <a:avLst>
                <a:gd name="adj" fmla="val 6278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B4C6A1E-E5DE-4FC3-B2BF-EAB725F0FCF0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6" name="Retângulo: Cantos Superiores Arredondados 35">
              <a:extLst>
                <a:ext uri="{FF2B5EF4-FFF2-40B4-BE49-F238E27FC236}">
                  <a16:creationId xmlns:a16="http://schemas.microsoft.com/office/drawing/2014/main" id="{F850FB72-A800-DDBA-F50F-D1326C851902}"/>
                </a:ext>
              </a:extLst>
            </xdr:cNvPr>
            <xdr:cNvSpPr/>
          </xdr:nvSpPr>
          <xdr:spPr>
            <a:xfrm>
              <a:off x="2202656" y="1035844"/>
              <a:ext cx="4502993" cy="2857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175459E2-97CC-49E0-8C69-17785F9E9CC3}"/>
              </a:ext>
            </a:extLst>
          </xdr:cNvPr>
          <xdr:cNvGrpSpPr/>
        </xdr:nvGrpSpPr>
        <xdr:grpSpPr>
          <a:xfrm>
            <a:off x="7036594" y="1463280"/>
            <a:ext cx="1381125" cy="692947"/>
            <a:chOff x="3495675" y="5400668"/>
            <a:chExt cx="1549476" cy="752478"/>
          </a:xfrm>
        </xdr:grpSpPr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id="{E4E08690-2782-6D4F-E992-0590F61E7F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68"/>
              <a:ext cx="555497" cy="609599"/>
            </a:xfrm>
            <a:prstGeom prst="rect">
              <a:avLst/>
            </a:prstGeom>
          </xdr:spPr>
        </xdr:pic>
        <xdr:pic>
          <xdr:nvPicPr>
            <xdr:cNvPr id="39" name="Gráfico 38">
              <a:extLst>
                <a:ext uri="{FF2B5EF4-FFF2-40B4-BE49-F238E27FC236}">
                  <a16:creationId xmlns:a16="http://schemas.microsoft.com/office/drawing/2014/main" id="{D059DF14-8326-30CB-3758-BF6F9DBFB7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3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142873</xdr:colOff>
      <xdr:row>13</xdr:row>
      <xdr:rowOff>35719</xdr:rowOff>
    </xdr:from>
    <xdr:to>
      <xdr:col>16</xdr:col>
      <xdr:colOff>595312</xdr:colOff>
      <xdr:row>26</xdr:row>
      <xdr:rowOff>100015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05CB2353-EDC1-1A73-7B00-09282D24F762}"/>
            </a:ext>
          </a:extLst>
        </xdr:cNvPr>
        <xdr:cNvGrpSpPr/>
      </xdr:nvGrpSpPr>
      <xdr:grpSpPr>
        <a:xfrm>
          <a:off x="2171041" y="2614038"/>
          <a:ext cx="8786814" cy="2519447"/>
          <a:chOff x="2131217" y="2607468"/>
          <a:chExt cx="8834439" cy="254079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A161B21-4BB7-7E78-16D9-2A44C517EEFC}"/>
              </a:ext>
            </a:extLst>
          </xdr:cNvPr>
          <xdr:cNvGrpSpPr/>
        </xdr:nvGrpSpPr>
        <xdr:grpSpPr>
          <a:xfrm>
            <a:off x="2131217" y="2714627"/>
            <a:ext cx="8834439" cy="2433637"/>
            <a:chOff x="1821655" y="821532"/>
            <a:chExt cx="4238625" cy="243363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7216BCC-CF7B-7F68-BC87-908FA40454BC}"/>
                </a:ext>
              </a:extLst>
            </xdr:cNvPr>
            <xdr:cNvSpPr/>
          </xdr:nvSpPr>
          <xdr:spPr>
            <a:xfrm>
              <a:off x="1821655" y="821532"/>
              <a:ext cx="4238625" cy="2369344"/>
            </a:xfrm>
            <a:prstGeom prst="roundRect">
              <a:avLst>
                <a:gd name="adj" fmla="val 460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7FB6797-E02B-4A08-9871-AAE039C4249F}"/>
                </a:ext>
              </a:extLst>
            </xdr:cNvPr>
            <xdr:cNvGraphicFramePr>
              <a:graphicFrameLocks/>
            </xdr:cNvGraphicFramePr>
          </xdr:nvGraphicFramePr>
          <xdr:xfrm>
            <a:off x="2164555" y="892969"/>
            <a:ext cx="3832376" cy="2362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9700A370-5CD7-4FEB-B6EE-79699CDE2226}"/>
              </a:ext>
            </a:extLst>
          </xdr:cNvPr>
          <xdr:cNvSpPr/>
        </xdr:nvSpPr>
        <xdr:spPr>
          <a:xfrm>
            <a:off x="2131218" y="2607468"/>
            <a:ext cx="8834437" cy="23208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XBOS GAME PASS</a:t>
            </a:r>
          </a:p>
        </xdr:txBody>
      </xdr:sp>
    </xdr:grpSp>
    <xdr:clientData/>
  </xdr:twoCellAnchor>
  <xdr:twoCellAnchor editAs="absolute">
    <xdr:from>
      <xdr:col>0</xdr:col>
      <xdr:colOff>511969</xdr:colOff>
      <xdr:row>0</xdr:row>
      <xdr:rowOff>95250</xdr:rowOff>
    </xdr:from>
    <xdr:to>
      <xdr:col>0</xdr:col>
      <xdr:colOff>1143000</xdr:colOff>
      <xdr:row>2</xdr:row>
      <xdr:rowOff>285750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9464A65E-5E92-4DEC-984D-4A2FC552F407}"/>
            </a:ext>
          </a:extLst>
        </xdr:cNvPr>
        <xdr:cNvSpPr/>
      </xdr:nvSpPr>
      <xdr:spPr>
        <a:xfrm>
          <a:off x="511969" y="95250"/>
          <a:ext cx="631031" cy="64293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119063</xdr:colOff>
      <xdr:row>4</xdr:row>
      <xdr:rowOff>11905</xdr:rowOff>
    </xdr:from>
    <xdr:to>
      <xdr:col>0</xdr:col>
      <xdr:colOff>1666875</xdr:colOff>
      <xdr:row>6</xdr:row>
      <xdr:rowOff>23811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3FF19FA9-A7D0-0D90-AC41-A077A9EBAE22}"/>
            </a:ext>
          </a:extLst>
        </xdr:cNvPr>
        <xdr:cNvSpPr/>
      </xdr:nvSpPr>
      <xdr:spPr>
        <a:xfrm>
          <a:off x="119063" y="881061"/>
          <a:ext cx="1547812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-&gt;Bem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vinda, Daniela</a:t>
          </a:r>
          <a:endParaRPr lang="pt-BR" sz="1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42146</xdr:colOff>
      <xdr:row>2</xdr:row>
      <xdr:rowOff>286592</xdr:rowOff>
    </xdr:from>
    <xdr:to>
      <xdr:col>9</xdr:col>
      <xdr:colOff>396172</xdr:colOff>
      <xdr:row>5</xdr:row>
      <xdr:rowOff>67433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A3AE5F88-0115-450A-AF0A-81955D030274}"/>
            </a:ext>
          </a:extLst>
        </xdr:cNvPr>
        <xdr:cNvSpPr/>
      </xdr:nvSpPr>
      <xdr:spPr>
        <a:xfrm>
          <a:off x="2065155" y="741769"/>
          <a:ext cx="4602344" cy="2865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baseline="0">
              <a:solidFill>
                <a:schemeClr val="bg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Calculation period: 01/01/2024 até 31/12/2024 | Uptade date: 15/10/2026</a:t>
          </a:r>
          <a:endParaRPr lang="pt-BR" sz="1050" b="0">
            <a:solidFill>
              <a:schemeClr val="bg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Souza" refreshedDate="46310.448935763889" createdVersion="8" refreshedVersion="8" minRefreshableVersion="3" recordCount="295" xr:uid="{748F8317-C74A-4CBF-8E4A-0CEAFE2D068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10611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7503E-A258-4D68-8463-9B94B45B758B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524EC-DBEE-4242-A80F-FAC5AF15A39E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56085-5D1B-416A-A566-05005E76BCAE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B8413B7-CCE3-47C9-9659-3F53F15E563F}" sourceName="Subscription Type">
  <pivotTables>
    <pivotTable tabId="3" name="tbl_annual_total"/>
    <pivotTable tabId="3" name="tbl_easeasonpass_total"/>
    <pivotTable tabId="3" name="Tabela dinâmica4"/>
  </pivotTables>
  <data>
    <tabular pivotCacheId="100106114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178075E-646A-406E-939B-953ADA9A2EB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K2" sqref="K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9" zoomScale="90" zoomScaleNormal="90" workbookViewId="0">
      <selection activeCell="K2" sqref="K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7"/>
  <sheetViews>
    <sheetView showGridLines="0" topLeftCell="A25" workbookViewId="0">
      <selection activeCell="K2" sqref="K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313</v>
      </c>
      <c r="C3" s="15"/>
      <c r="D3" s="15"/>
      <c r="E3" s="15"/>
      <c r="F3" s="15"/>
    </row>
    <row r="6" spans="2:6" x14ac:dyDescent="0.25">
      <c r="B6" t="s">
        <v>317</v>
      </c>
    </row>
    <row r="7" spans="2:6" x14ac:dyDescent="0.25">
      <c r="B7" t="s">
        <v>318</v>
      </c>
    </row>
    <row r="10" spans="2:6" x14ac:dyDescent="0.25">
      <c r="B10" s="13" t="s">
        <v>16</v>
      </c>
      <c r="C10" t="s">
        <v>27</v>
      </c>
    </row>
    <row r="12" spans="2:6" x14ac:dyDescent="0.25">
      <c r="B12" s="13" t="s">
        <v>315</v>
      </c>
      <c r="C12" t="s">
        <v>314</v>
      </c>
    </row>
    <row r="13" spans="2:6" x14ac:dyDescent="0.25">
      <c r="B13" s="14" t="s">
        <v>23</v>
      </c>
      <c r="C13" s="12">
        <v>806</v>
      </c>
    </row>
    <row r="14" spans="2:6" x14ac:dyDescent="0.25">
      <c r="B14" s="14" t="s">
        <v>19</v>
      </c>
      <c r="C14" s="12">
        <v>1502</v>
      </c>
    </row>
    <row r="15" spans="2:6" x14ac:dyDescent="0.25">
      <c r="B15" s="14" t="s">
        <v>316</v>
      </c>
      <c r="C15" s="12">
        <v>2308</v>
      </c>
    </row>
    <row r="18" spans="2:5" x14ac:dyDescent="0.25">
      <c r="B18" s="14" t="s">
        <v>320</v>
      </c>
    </row>
    <row r="20" spans="2:5" x14ac:dyDescent="0.25">
      <c r="B20" s="13" t="s">
        <v>16</v>
      </c>
      <c r="C20" t="s">
        <v>27</v>
      </c>
    </row>
    <row r="22" spans="2:5" x14ac:dyDescent="0.25">
      <c r="B22" s="13" t="s">
        <v>315</v>
      </c>
      <c r="C22" t="s">
        <v>322</v>
      </c>
    </row>
    <row r="23" spans="2:5" x14ac:dyDescent="0.25">
      <c r="B23" s="14" t="s">
        <v>22</v>
      </c>
      <c r="C23" s="18">
        <v>0</v>
      </c>
    </row>
    <row r="24" spans="2:5" x14ac:dyDescent="0.25">
      <c r="B24" s="14" t="s">
        <v>26</v>
      </c>
      <c r="C24" s="18">
        <v>0</v>
      </c>
    </row>
    <row r="25" spans="2:5" x14ac:dyDescent="0.25">
      <c r="B25" s="14" t="s">
        <v>18</v>
      </c>
      <c r="C25" s="18">
        <v>990</v>
      </c>
    </row>
    <row r="26" spans="2:5" x14ac:dyDescent="0.25">
      <c r="B26" s="14" t="s">
        <v>316</v>
      </c>
      <c r="C26" s="18">
        <v>990</v>
      </c>
      <c r="E26" s="19">
        <f>GETPIVOTDATA("EA Play Season Pass
Price",$B$22)</f>
        <v>990</v>
      </c>
    </row>
    <row r="29" spans="2:5" x14ac:dyDescent="0.25">
      <c r="B29" s="14" t="s">
        <v>323</v>
      </c>
    </row>
    <row r="31" spans="2:5" x14ac:dyDescent="0.25">
      <c r="B31" s="13" t="s">
        <v>16</v>
      </c>
      <c r="C31" t="s">
        <v>27</v>
      </c>
    </row>
    <row r="33" spans="2:5" x14ac:dyDescent="0.25">
      <c r="B33" s="13" t="s">
        <v>315</v>
      </c>
      <c r="C33" t="s">
        <v>321</v>
      </c>
    </row>
    <row r="34" spans="2:5" x14ac:dyDescent="0.25">
      <c r="B34" s="14" t="s">
        <v>22</v>
      </c>
      <c r="C34" s="12">
        <v>0</v>
      </c>
    </row>
    <row r="35" spans="2:5" x14ac:dyDescent="0.25">
      <c r="B35" s="14" t="s">
        <v>26</v>
      </c>
      <c r="C35" s="12">
        <v>480</v>
      </c>
    </row>
    <row r="36" spans="2:5" x14ac:dyDescent="0.25">
      <c r="B36" s="14" t="s">
        <v>18</v>
      </c>
      <c r="C36" s="12">
        <v>660</v>
      </c>
    </row>
    <row r="37" spans="2:5" x14ac:dyDescent="0.25">
      <c r="B37" s="14" t="s">
        <v>316</v>
      </c>
      <c r="C37" s="12">
        <v>1140</v>
      </c>
      <c r="E37" s="19">
        <f>GETPIVOTDATA("Minecraft Season Pass Price",$B$33)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FD300"/>
  <sheetViews>
    <sheetView showGridLines="0" showRowColHeaders="0" tabSelected="1" zoomScale="116" zoomScaleNormal="108" workbookViewId="0">
      <selection activeCell="K5" sqref="K5"/>
    </sheetView>
  </sheetViews>
  <sheetFormatPr defaultColWidth="0" defaultRowHeight="15" x14ac:dyDescent="0.25"/>
  <cols>
    <col min="1" max="1" width="26.85546875" style="4" customWidth="1"/>
    <col min="2" max="2" width="3.5703125" customWidth="1"/>
    <col min="3" max="11" width="9.140625" customWidth="1"/>
    <col min="12" max="12" width="6.5703125" customWidth="1"/>
    <col min="13" max="17" width="9.140625" customWidth="1"/>
    <col min="21" max="16382" width="9.140625" hidden="1"/>
    <col min="16383" max="16383" width="7.7109375" hidden="1" customWidth="1"/>
    <col min="16384" max="16384" width="9.42578125" hidden="1" customWidth="1"/>
  </cols>
  <sheetData>
    <row r="2" spans="1:17" ht="20.25" thickBot="1" x14ac:dyDescent="0.35">
      <c r="C2" s="20" t="s">
        <v>319</v>
      </c>
      <c r="D2" s="16"/>
      <c r="E2" s="16"/>
      <c r="F2" s="16"/>
      <c r="G2" s="16"/>
      <c r="H2" s="16"/>
      <c r="I2" s="17"/>
      <c r="J2" s="17"/>
      <c r="K2" s="17"/>
      <c r="L2" s="17"/>
      <c r="M2" s="17"/>
      <c r="N2" s="17"/>
      <c r="O2" s="17"/>
      <c r="P2" s="17"/>
      <c r="Q2" s="17"/>
    </row>
    <row r="3" spans="1:17" ht="24.75" customHeight="1" thickTop="1" x14ac:dyDescent="0.25"/>
    <row r="4" spans="1:17" s="7" customFormat="1" ht="8.25" customHeight="1" x14ac:dyDescent="0.25">
      <c r="A4" s="4"/>
    </row>
    <row r="5" spans="1:17" s="7" customFormat="1" ht="7.5" customHeight="1" x14ac:dyDescent="0.25">
      <c r="A5" s="4"/>
    </row>
    <row r="6" spans="1:17" s="7" customFormat="1" ht="10.5" customHeight="1" x14ac:dyDescent="0.25">
      <c r="A6" s="4"/>
    </row>
    <row r="7" spans="1:17" s="7" customFormat="1" ht="9.75" customHeight="1" x14ac:dyDescent="0.25">
      <c r="A7" s="4"/>
    </row>
    <row r="8" spans="1:17" s="7" customFormat="1" ht="33" customHeigh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MS03165</cp:lastModifiedBy>
  <dcterms:created xsi:type="dcterms:W3CDTF">2024-12-19T13:13:10Z</dcterms:created>
  <dcterms:modified xsi:type="dcterms:W3CDTF">2026-10-15T16:38:38Z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